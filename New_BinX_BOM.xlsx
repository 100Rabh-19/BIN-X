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<sst xmlns="http://schemas.openxmlformats.org/spreadsheetml/2006/main" count="96" uniqueCount="60">
  <si>
    <t xml:space="preserve">Bill of Materials</t>
  </si>
  <si>
    <t xml:space="preserve">All costs in INR (₹). Blue = entered values; black = formulas. Costs as provided by the user.</t>
  </si>
  <si>
    <t xml:space="preserve">#</t>
  </si>
  <si>
    <t xml:space="preserve">Category</t>
  </si>
  <si>
    <t xml:space="preserve">Component</t>
  </si>
  <si>
    <t xml:space="preserve">Cost (₹)</t>
  </si>
  <si>
    <t xml:space="preserve">Mechanical</t>
  </si>
  <si>
    <t xml:space="preserve">Outer Body</t>
  </si>
  <si>
    <t xml:space="preserve">Frame</t>
  </si>
  <si>
    <t xml:space="preserve">Compartments (4)</t>
  </si>
  <si>
    <t xml:space="preserve">Gate, drop door, sorter</t>
  </si>
  <si>
    <t xml:space="preserve">Chamber interior and window</t>
  </si>
  <si>
    <t xml:space="preserve">Sorter bearing</t>
  </si>
  <si>
    <t xml:space="preserve">Seals and fasteners</t>
  </si>
  <si>
    <t xml:space="preserve">Mechanical subtotal</t>
  </si>
  <si>
    <t xml:space="preserve">Power &amp; Safety</t>
  </si>
  <si>
    <t xml:space="preserve">Main power supply</t>
  </si>
  <si>
    <t xml:space="preserve">Pi power supply</t>
  </si>
  <si>
    <t xml:space="preserve">DC-DC converter, servo rail</t>
  </si>
  <si>
    <t xml:space="preserve">DC-DC converter, logic</t>
  </si>
  <si>
    <t xml:space="preserve">Protection</t>
  </si>
  <si>
    <t xml:space="preserve">Emergency stop and safety relay</t>
  </si>
  <si>
    <t xml:space="preserve">Service-door interlock</t>
  </si>
  <si>
    <t xml:space="preserve">Indicators</t>
  </si>
  <si>
    <t xml:space="preserve">Electrical enclosure and wiring set</t>
  </si>
  <si>
    <t xml:space="preserve">Power &amp; Safety subtotal</t>
  </si>
  <si>
    <t xml:space="preserve">Sensing</t>
  </si>
  <si>
    <t xml:space="preserve">Inlet item sensor</t>
  </si>
  <si>
    <t xml:space="preserve">Metal sensor</t>
  </si>
  <si>
    <t xml:space="preserve">Homing sensor (sorter)</t>
  </si>
  <si>
    <t xml:space="preserve">Load cell, inspection chamber</t>
  </si>
  <si>
    <t xml:space="preserve">Load cell amplifier</t>
  </si>
  <si>
    <t xml:space="preserve">Sensing subtotal</t>
  </si>
  <si>
    <t xml:space="preserve">Compute &amp; Control</t>
  </si>
  <si>
    <t xml:space="preserve">Raspberry Pi 5</t>
  </si>
  <si>
    <t xml:space="preserve">Pi 5 camera cable</t>
  </si>
  <si>
    <t xml:space="preserve">Pi 5 active cooler</t>
  </si>
  <si>
    <t xml:space="preserve">ESP32-S3-DevKitC-1</t>
  </si>
  <si>
    <t xml:space="preserve">Storage</t>
  </si>
  <si>
    <t xml:space="preserve">Interface PCB</t>
  </si>
  <si>
    <t xml:space="preserve">24 V input module</t>
  </si>
  <si>
    <t xml:space="preserve">Output module</t>
  </si>
  <si>
    <t xml:space="preserve">Compute &amp; Control subtotal</t>
  </si>
  <si>
    <t xml:space="preserve">Motion</t>
  </si>
  <si>
    <t xml:space="preserve">Sorting stepper motor</t>
  </si>
  <si>
    <t xml:space="preserve">Stepper driver</t>
  </si>
  <si>
    <t xml:space="preserve">Gate and drop-door servos</t>
  </si>
  <si>
    <t xml:space="preserve">Motion subtotal</t>
  </si>
  <si>
    <t xml:space="preserve">Vision</t>
  </si>
  <si>
    <t xml:space="preserve">Pi Camera Module 3 Wide</t>
  </si>
  <si>
    <t xml:space="preserve">Chamber lighting</t>
  </si>
  <si>
    <t xml:space="preserve">IPS HDMI display</t>
  </si>
  <si>
    <t xml:space="preserve">Vision subtotal</t>
  </si>
  <si>
    <t xml:space="preserve">GRAND TOTAL</t>
  </si>
  <si>
    <t xml:space="preserve">Cost Summary by Category</t>
  </si>
  <si>
    <t xml:space="preserve">Items</t>
  </si>
  <si>
    <t xml:space="preserve">Subtotal (₹)</t>
  </si>
  <si>
    <t xml:space="preserve">Share of total</t>
  </si>
  <si>
    <t xml:space="preserve">Total</t>
  </si>
  <si>
    <t xml:space="preserve">Check: Summary total equals BOM 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</si>
</sst>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E59"/>
        <bgColor rgb="FFFFCC00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medium"/>
      <bottom style="medium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</row>
    <row r="5" customFormat="false" ht="15" hidden="false" customHeight="false" outlineLevel="0" collapsed="false">
      <c r="A5" s="5" t="n">
        <v>1</v>
      </c>
      <c r="B5" s="6" t="s">
        <v>6</v>
      </c>
      <c r="C5" s="6" t="s">
        <v>7</v>
      </c>
      <c r="D5" s="7" t="n">
        <v>9000</v>
      </c>
    </row>
    <row r="6" customFormat="false" ht="15" hidden="false" customHeight="false" outlineLevel="0" collapsed="false">
      <c r="A6" s="5" t="n">
        <v>2</v>
      </c>
      <c r="B6" s="6" t="s">
        <v>6</v>
      </c>
      <c r="C6" s="6" t="s">
        <v>8</v>
      </c>
      <c r="D6" s="7" t="n">
        <v>3500</v>
      </c>
    </row>
    <row r="7" customFormat="false" ht="15" hidden="false" customHeight="false" outlineLevel="0" collapsed="false">
      <c r="A7" s="5" t="n">
        <v>3</v>
      </c>
      <c r="B7" s="6" t="s">
        <v>6</v>
      </c>
      <c r="C7" s="6" t="s">
        <v>9</v>
      </c>
      <c r="D7" s="7" t="n">
        <v>1800</v>
      </c>
    </row>
    <row r="8" customFormat="false" ht="15" hidden="false" customHeight="false" outlineLevel="0" collapsed="false">
      <c r="A8" s="5" t="n">
        <v>4</v>
      </c>
      <c r="B8" s="6" t="s">
        <v>6</v>
      </c>
      <c r="C8" s="6" t="s">
        <v>10</v>
      </c>
      <c r="D8" s="7" t="n">
        <v>5000</v>
      </c>
    </row>
    <row r="9" customFormat="false" ht="15" hidden="false" customHeight="false" outlineLevel="0" collapsed="false">
      <c r="A9" s="5" t="n">
        <v>5</v>
      </c>
      <c r="B9" s="6" t="s">
        <v>6</v>
      </c>
      <c r="C9" s="6" t="s">
        <v>11</v>
      </c>
      <c r="D9" s="7" t="n">
        <v>3000</v>
      </c>
    </row>
    <row r="10" customFormat="false" ht="15" hidden="false" customHeight="false" outlineLevel="0" collapsed="false">
      <c r="A10" s="5" t="n">
        <v>6</v>
      </c>
      <c r="B10" s="6" t="s">
        <v>6</v>
      </c>
      <c r="C10" s="6" t="s">
        <v>12</v>
      </c>
      <c r="D10" s="7" t="n">
        <v>1200</v>
      </c>
    </row>
    <row r="11" customFormat="false" ht="15" hidden="false" customHeight="false" outlineLevel="0" collapsed="false">
      <c r="A11" s="5" t="n">
        <v>7</v>
      </c>
      <c r="B11" s="6" t="s">
        <v>6</v>
      </c>
      <c r="C11" s="6" t="s">
        <v>13</v>
      </c>
      <c r="D11" s="7" t="n">
        <v>1500</v>
      </c>
    </row>
    <row r="12" customFormat="false" ht="15" hidden="false" customHeight="false" outlineLevel="0" collapsed="false">
      <c r="A12" s="8"/>
      <c r="B12" s="8"/>
      <c r="C12" s="8" t="s">
        <v>14</v>
      </c>
      <c r="D12" s="9" t="n">
        <f aca="false">SUM(D5:D11)</f>
        <v>25000</v>
      </c>
    </row>
    <row r="14" customFormat="false" ht="15" hidden="false" customHeight="false" outlineLevel="0" collapsed="false">
      <c r="A14" s="5" t="n">
        <v>8</v>
      </c>
      <c r="B14" s="6" t="s">
        <v>15</v>
      </c>
      <c r="C14" s="6" t="s">
        <v>16</v>
      </c>
      <c r="D14" s="7" t="n">
        <v>1499</v>
      </c>
    </row>
    <row r="15" customFormat="false" ht="15" hidden="false" customHeight="false" outlineLevel="0" collapsed="false">
      <c r="A15" s="5" t="n">
        <v>9</v>
      </c>
      <c r="B15" s="6" t="s">
        <v>15</v>
      </c>
      <c r="C15" s="6" t="s">
        <v>17</v>
      </c>
      <c r="D15" s="7" t="n">
        <v>1235</v>
      </c>
    </row>
    <row r="16" customFormat="false" ht="15" hidden="false" customHeight="false" outlineLevel="0" collapsed="false">
      <c r="A16" s="5" t="n">
        <v>10</v>
      </c>
      <c r="B16" s="6" t="s">
        <v>15</v>
      </c>
      <c r="C16" s="6" t="s">
        <v>18</v>
      </c>
      <c r="D16" s="7" t="n">
        <v>900</v>
      </c>
    </row>
    <row r="17" customFormat="false" ht="15" hidden="false" customHeight="false" outlineLevel="0" collapsed="false">
      <c r="A17" s="5" t="n">
        <v>11</v>
      </c>
      <c r="B17" s="6" t="s">
        <v>15</v>
      </c>
      <c r="C17" s="6" t="s">
        <v>19</v>
      </c>
      <c r="D17" s="7" t="n">
        <v>250</v>
      </c>
    </row>
    <row r="18" customFormat="false" ht="15" hidden="false" customHeight="false" outlineLevel="0" collapsed="false">
      <c r="A18" s="5" t="n">
        <v>12</v>
      </c>
      <c r="B18" s="6" t="s">
        <v>15</v>
      </c>
      <c r="C18" s="6" t="s">
        <v>20</v>
      </c>
      <c r="D18" s="7" t="n">
        <v>1800</v>
      </c>
    </row>
    <row r="19" customFormat="false" ht="15" hidden="false" customHeight="false" outlineLevel="0" collapsed="false">
      <c r="A19" s="5" t="n">
        <v>13</v>
      </c>
      <c r="B19" s="6" t="s">
        <v>15</v>
      </c>
      <c r="C19" s="6" t="s">
        <v>21</v>
      </c>
      <c r="D19" s="7" t="n">
        <v>6500</v>
      </c>
    </row>
    <row r="20" customFormat="false" ht="15" hidden="false" customHeight="false" outlineLevel="0" collapsed="false">
      <c r="A20" s="5" t="n">
        <v>14</v>
      </c>
      <c r="B20" s="6" t="s">
        <v>15</v>
      </c>
      <c r="C20" s="6" t="s">
        <v>22</v>
      </c>
      <c r="D20" s="7" t="n">
        <v>1200</v>
      </c>
    </row>
    <row r="21" customFormat="false" ht="15" hidden="false" customHeight="false" outlineLevel="0" collapsed="false">
      <c r="A21" s="5" t="n">
        <v>15</v>
      </c>
      <c r="B21" s="6" t="s">
        <v>15</v>
      </c>
      <c r="C21" s="6" t="s">
        <v>23</v>
      </c>
      <c r="D21" s="7" t="n">
        <v>700</v>
      </c>
    </row>
    <row r="22" customFormat="false" ht="15" hidden="false" customHeight="false" outlineLevel="0" collapsed="false">
      <c r="A22" s="5" t="n">
        <v>16</v>
      </c>
      <c r="B22" s="6" t="s">
        <v>15</v>
      </c>
      <c r="C22" s="6" t="s">
        <v>24</v>
      </c>
      <c r="D22" s="7" t="n">
        <v>5000</v>
      </c>
    </row>
    <row r="23" customFormat="false" ht="15" hidden="false" customHeight="false" outlineLevel="0" collapsed="false">
      <c r="A23" s="8"/>
      <c r="B23" s="8"/>
      <c r="C23" s="8" t="s">
        <v>25</v>
      </c>
      <c r="D23" s="9" t="n">
        <f aca="false">SUM(D14:D22)</f>
        <v>19084</v>
      </c>
    </row>
    <row r="25" customFormat="false" ht="15" hidden="false" customHeight="false" outlineLevel="0" collapsed="false">
      <c r="A25" s="5" t="n">
        <v>17</v>
      </c>
      <c r="B25" s="6" t="s">
        <v>26</v>
      </c>
      <c r="C25" s="6" t="s">
        <v>27</v>
      </c>
      <c r="D25" s="7" t="n">
        <v>3500</v>
      </c>
    </row>
    <row r="26" customFormat="false" ht="15" hidden="false" customHeight="false" outlineLevel="0" collapsed="false">
      <c r="A26" s="5" t="n">
        <v>18</v>
      </c>
      <c r="B26" s="6" t="s">
        <v>26</v>
      </c>
      <c r="C26" s="6" t="s">
        <v>28</v>
      </c>
      <c r="D26" s="7" t="n">
        <v>767</v>
      </c>
    </row>
    <row r="27" customFormat="false" ht="15" hidden="false" customHeight="false" outlineLevel="0" collapsed="false">
      <c r="A27" s="5" t="n">
        <v>19</v>
      </c>
      <c r="B27" s="6" t="s">
        <v>26</v>
      </c>
      <c r="C27" s="6" t="s">
        <v>29</v>
      </c>
      <c r="D27" s="7" t="n">
        <v>450</v>
      </c>
    </row>
    <row r="28" customFormat="false" ht="15" hidden="false" customHeight="false" outlineLevel="0" collapsed="false">
      <c r="A28" s="5" t="n">
        <v>20</v>
      </c>
      <c r="B28" s="6" t="s">
        <v>26</v>
      </c>
      <c r="C28" s="6" t="s">
        <v>30</v>
      </c>
      <c r="D28" s="7" t="n">
        <v>100</v>
      </c>
    </row>
    <row r="29" customFormat="false" ht="15" hidden="false" customHeight="false" outlineLevel="0" collapsed="false">
      <c r="A29" s="5" t="n">
        <v>21</v>
      </c>
      <c r="B29" s="6" t="s">
        <v>26</v>
      </c>
      <c r="C29" s="6" t="s">
        <v>31</v>
      </c>
      <c r="D29" s="7" t="n">
        <v>119</v>
      </c>
    </row>
    <row r="30" customFormat="false" ht="15" hidden="false" customHeight="false" outlineLevel="0" collapsed="false">
      <c r="A30" s="8"/>
      <c r="B30" s="8"/>
      <c r="C30" s="8" t="s">
        <v>32</v>
      </c>
      <c r="D30" s="9" t="n">
        <f aca="false">SUM(D25:D29)</f>
        <v>4936</v>
      </c>
    </row>
    <row r="32" customFormat="false" ht="15" hidden="false" customHeight="false" outlineLevel="0" collapsed="false">
      <c r="A32" s="5" t="n">
        <v>22</v>
      </c>
      <c r="B32" s="6" t="s">
        <v>33</v>
      </c>
      <c r="C32" s="6" t="s">
        <v>34</v>
      </c>
      <c r="D32" s="7" t="n">
        <v>12000</v>
      </c>
    </row>
    <row r="33" customFormat="false" ht="15" hidden="false" customHeight="false" outlineLevel="0" collapsed="false">
      <c r="A33" s="5" t="n">
        <v>23</v>
      </c>
      <c r="B33" s="6" t="s">
        <v>33</v>
      </c>
      <c r="C33" s="6" t="s">
        <v>35</v>
      </c>
      <c r="D33" s="7" t="n">
        <v>395</v>
      </c>
    </row>
    <row r="34" customFormat="false" ht="15" hidden="false" customHeight="false" outlineLevel="0" collapsed="false">
      <c r="A34" s="5" t="n">
        <v>24</v>
      </c>
      <c r="B34" s="6" t="s">
        <v>33</v>
      </c>
      <c r="C34" s="6" t="s">
        <v>36</v>
      </c>
      <c r="D34" s="7" t="n">
        <v>488</v>
      </c>
    </row>
    <row r="35" customFormat="false" ht="15" hidden="false" customHeight="false" outlineLevel="0" collapsed="false">
      <c r="A35" s="5" t="n">
        <v>25</v>
      </c>
      <c r="B35" s="6" t="s">
        <v>33</v>
      </c>
      <c r="C35" s="6" t="s">
        <v>37</v>
      </c>
      <c r="D35" s="7" t="n">
        <v>1003</v>
      </c>
    </row>
    <row r="36" customFormat="false" ht="15" hidden="false" customHeight="false" outlineLevel="0" collapsed="false">
      <c r="A36" s="5" t="n">
        <v>26</v>
      </c>
      <c r="B36" s="6" t="s">
        <v>33</v>
      </c>
      <c r="C36" s="6" t="s">
        <v>38</v>
      </c>
      <c r="D36" s="7" t="n">
        <v>700</v>
      </c>
    </row>
    <row r="37" customFormat="false" ht="15" hidden="false" customHeight="false" outlineLevel="0" collapsed="false">
      <c r="A37" s="5" t="n">
        <v>27</v>
      </c>
      <c r="B37" s="6" t="s">
        <v>33</v>
      </c>
      <c r="C37" s="6" t="s">
        <v>39</v>
      </c>
      <c r="D37" s="7" t="n">
        <v>2500</v>
      </c>
    </row>
    <row r="38" customFormat="false" ht="15" hidden="false" customHeight="false" outlineLevel="0" collapsed="false">
      <c r="A38" s="5" t="n">
        <v>28</v>
      </c>
      <c r="B38" s="6" t="s">
        <v>33</v>
      </c>
      <c r="C38" s="6" t="s">
        <v>40</v>
      </c>
      <c r="D38" s="7" t="n">
        <v>550</v>
      </c>
    </row>
    <row r="39" customFormat="false" ht="15" hidden="false" customHeight="false" outlineLevel="0" collapsed="false">
      <c r="A39" s="5" t="n">
        <v>29</v>
      </c>
      <c r="B39" s="6" t="s">
        <v>33</v>
      </c>
      <c r="C39" s="6" t="s">
        <v>41</v>
      </c>
      <c r="D39" s="7" t="n">
        <v>450</v>
      </c>
    </row>
    <row r="40" customFormat="false" ht="15" hidden="false" customHeight="false" outlineLevel="0" collapsed="false">
      <c r="A40" s="8"/>
      <c r="B40" s="8"/>
      <c r="C40" s="8" t="s">
        <v>42</v>
      </c>
      <c r="D40" s="9" t="n">
        <f aca="false">SUM(D32:D39)</f>
        <v>18086</v>
      </c>
    </row>
    <row r="42" customFormat="false" ht="15" hidden="false" customHeight="false" outlineLevel="0" collapsed="false">
      <c r="A42" s="5" t="n">
        <v>30</v>
      </c>
      <c r="B42" s="6" t="s">
        <v>43</v>
      </c>
      <c r="C42" s="6" t="s">
        <v>44</v>
      </c>
      <c r="D42" s="7" t="n">
        <v>1699</v>
      </c>
    </row>
    <row r="43" customFormat="false" ht="15" hidden="false" customHeight="false" outlineLevel="0" collapsed="false">
      <c r="A43" s="5" t="n">
        <v>31</v>
      </c>
      <c r="B43" s="6" t="s">
        <v>43</v>
      </c>
      <c r="C43" s="6" t="s">
        <v>45</v>
      </c>
      <c r="D43" s="7" t="n">
        <v>2699</v>
      </c>
    </row>
    <row r="44" customFormat="false" ht="15" hidden="false" customHeight="false" outlineLevel="0" collapsed="false">
      <c r="A44" s="5" t="n">
        <v>32</v>
      </c>
      <c r="B44" s="6" t="s">
        <v>43</v>
      </c>
      <c r="C44" s="6" t="s">
        <v>46</v>
      </c>
      <c r="D44" s="7" t="n">
        <v>4200</v>
      </c>
    </row>
    <row r="45" customFormat="false" ht="15" hidden="false" customHeight="false" outlineLevel="0" collapsed="false">
      <c r="A45" s="8"/>
      <c r="B45" s="8"/>
      <c r="C45" s="8" t="s">
        <v>47</v>
      </c>
      <c r="D45" s="9" t="n">
        <f aca="false">SUM(D42:D44)</f>
        <v>8598</v>
      </c>
    </row>
    <row r="47" customFormat="false" ht="15" hidden="false" customHeight="false" outlineLevel="0" collapsed="false">
      <c r="A47" s="5" t="n">
        <v>33</v>
      </c>
      <c r="B47" s="6" t="s">
        <v>48</v>
      </c>
      <c r="C47" s="6" t="s">
        <v>49</v>
      </c>
      <c r="D47" s="7" t="n">
        <v>3599</v>
      </c>
    </row>
    <row r="48" customFormat="false" ht="15" hidden="false" customHeight="false" outlineLevel="0" collapsed="false">
      <c r="A48" s="5" t="n">
        <v>34</v>
      </c>
      <c r="B48" s="6" t="s">
        <v>48</v>
      </c>
      <c r="C48" s="6" t="s">
        <v>50</v>
      </c>
      <c r="D48" s="7" t="n">
        <v>800</v>
      </c>
    </row>
    <row r="49" customFormat="false" ht="15" hidden="false" customHeight="false" outlineLevel="0" collapsed="false">
      <c r="A49" s="5" t="n">
        <v>35</v>
      </c>
      <c r="B49" s="6" t="s">
        <v>48</v>
      </c>
      <c r="C49" s="6" t="s">
        <v>51</v>
      </c>
      <c r="D49" s="7" t="n">
        <v>7499</v>
      </c>
    </row>
    <row r="50" customFormat="false" ht="15" hidden="false" customHeight="false" outlineLevel="0" collapsed="false">
      <c r="A50" s="8"/>
      <c r="B50" s="8"/>
      <c r="C50" s="8" t="s">
        <v>52</v>
      </c>
      <c r="D50" s="9" t="n">
        <f aca="false">SUM(D47:D49)</f>
        <v>11898</v>
      </c>
    </row>
    <row r="52" customFormat="false" ht="15" hidden="false" customHeight="false" outlineLevel="0" collapsed="false">
      <c r="A52" s="10"/>
      <c r="B52" s="10"/>
      <c r="C52" s="10" t="s">
        <v>53</v>
      </c>
      <c r="D52" s="11" t="n">
        <f aca="false">D12+D23+D30+D40+D45+D50</f>
        <v>87602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54</v>
      </c>
    </row>
    <row r="3" customFormat="false" ht="15" hidden="false" customHeight="false" outlineLevel="0" collapsed="false">
      <c r="A3" s="12" t="s">
        <v>3</v>
      </c>
      <c r="B3" s="13" t="s">
        <v>55</v>
      </c>
      <c r="C3" s="13" t="s">
        <v>56</v>
      </c>
      <c r="D3" s="13" t="s">
        <v>57</v>
      </c>
    </row>
    <row r="4" customFormat="false" ht="15" hidden="false" customHeight="false" outlineLevel="0" collapsed="false">
      <c r="A4" s="14" t="s">
        <v>6</v>
      </c>
      <c r="B4" s="14" t="n">
        <f aca="false">COUNTIF(BOM!$B$5:$B$51,A4)</f>
        <v>7</v>
      </c>
      <c r="C4" s="15" t="n">
        <f aca="false">BOM!D12</f>
        <v>25000</v>
      </c>
      <c r="D4" s="16" t="n">
        <f aca="false">C4/$C$10</f>
        <v>0.285381612291957</v>
      </c>
    </row>
    <row r="5" customFormat="false" ht="15" hidden="false" customHeight="false" outlineLevel="0" collapsed="false">
      <c r="A5" s="14" t="s">
        <v>15</v>
      </c>
      <c r="B5" s="14" t="n">
        <f aca="false">COUNTIF(BOM!$B$5:$B$51,A5)</f>
        <v>9</v>
      </c>
      <c r="C5" s="15" t="n">
        <f aca="false">BOM!D23</f>
        <v>19084</v>
      </c>
      <c r="D5" s="16" t="n">
        <f aca="false">C5/$C$10</f>
        <v>0.217848907559188</v>
      </c>
    </row>
    <row r="6" customFormat="false" ht="15" hidden="false" customHeight="false" outlineLevel="0" collapsed="false">
      <c r="A6" s="14" t="s">
        <v>26</v>
      </c>
      <c r="B6" s="14" t="n">
        <f aca="false">COUNTIF(BOM!$B$5:$B$51,A6)</f>
        <v>5</v>
      </c>
      <c r="C6" s="15" t="n">
        <f aca="false">BOM!D30</f>
        <v>4936</v>
      </c>
      <c r="D6" s="16" t="n">
        <f aca="false">C6/$C$10</f>
        <v>0.056345745530924</v>
      </c>
    </row>
    <row r="7" customFormat="false" ht="15" hidden="false" customHeight="false" outlineLevel="0" collapsed="false">
      <c r="A7" s="14" t="s">
        <v>33</v>
      </c>
      <c r="B7" s="14" t="n">
        <f aca="false">COUNTIF(BOM!$B$5:$B$51,A7)</f>
        <v>8</v>
      </c>
      <c r="C7" s="15" t="n">
        <f aca="false">BOM!D40</f>
        <v>18086</v>
      </c>
      <c r="D7" s="16" t="n">
        <f aca="false">C7/$C$10</f>
        <v>0.206456473596493</v>
      </c>
    </row>
    <row r="8" customFormat="false" ht="15" hidden="false" customHeight="false" outlineLevel="0" collapsed="false">
      <c r="A8" s="14" t="s">
        <v>43</v>
      </c>
      <c r="B8" s="14" t="n">
        <f aca="false">COUNTIF(BOM!$B$5:$B$51,A8)</f>
        <v>3</v>
      </c>
      <c r="C8" s="15" t="n">
        <f aca="false">BOM!D45</f>
        <v>8598</v>
      </c>
      <c r="D8" s="16" t="n">
        <f aca="false">C8/$C$10</f>
        <v>0.0981484440994498</v>
      </c>
    </row>
    <row r="9" customFormat="false" ht="15" hidden="false" customHeight="false" outlineLevel="0" collapsed="false">
      <c r="A9" s="14" t="s">
        <v>48</v>
      </c>
      <c r="B9" s="14" t="n">
        <f aca="false">COUNTIF(BOM!$B$5:$B$51,A9)</f>
        <v>3</v>
      </c>
      <c r="C9" s="15" t="n">
        <f aca="false">BOM!D50</f>
        <v>11898</v>
      </c>
      <c r="D9" s="16" t="n">
        <f aca="false">C9/$C$10</f>
        <v>0.135818816921988</v>
      </c>
    </row>
    <row r="10" customFormat="false" ht="15" hidden="false" customHeight="false" outlineLevel="0" collapsed="false">
      <c r="A10" s="17" t="s">
        <v>58</v>
      </c>
      <c r="B10" s="17" t="n">
        <f aca="false">SUM(B4:B9)</f>
        <v>35</v>
      </c>
      <c r="C10" s="18" t="n">
        <f aca="false">SUM(C4:C9)</f>
        <v>87602</v>
      </c>
      <c r="D10" s="19" t="n">
        <f aca="false">SUM(D4:D9)</f>
        <v>1</v>
      </c>
    </row>
    <row r="12" customFormat="false" ht="15" hidden="false" customHeight="false" outlineLevel="0" collapsed="false">
      <c r="A12" s="20" t="s">
        <v>59</v>
      </c>
      <c r="C12" s="21" t="str">
        <f aca="false">IF(C10=BOM!D52,"OK","MISMATCH")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2026-10-25T14:00:22Z</dcterms:created>
  <dc:creator>openpyxl</dc:creator>
  <dc:description/>
  <dc:language>en-US</dc:language>
  <cp:lastModifiedBy/>
  <dcterms:modified xsi:type="dcterms:W3CDTF">2026-10-25T14:00:22Z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